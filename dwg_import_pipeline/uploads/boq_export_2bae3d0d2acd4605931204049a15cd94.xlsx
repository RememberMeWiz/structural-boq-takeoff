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205.36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1473.21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1517.86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42.68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62.5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15.18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22.32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9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Uploaded Drawing</t>
        </is>
      </c>
      <c r="E5" s="4" t="inlineStr">
        <is>
          <t>Uploaded Drawing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4952.705</v>
      </c>
      <c r="M5" s="6">
        <f>J5*L5</f>
        <v/>
      </c>
      <c r="N5" s="4" t="inlineStr">
        <is>
          <t>Confirmed</t>
        </is>
      </c>
    </row>
    <row r="6">
      <c r="A6" s="5" t="inlineStr">
        <is>
          <t>III. Steel Reinforcement</t>
        </is>
      </c>
      <c r="B6" s="4" t="inlineStr">
        <is>
          <t>REB-2.16</t>
        </is>
      </c>
      <c r="C6" s="5" t="inlineStr">
        <is>
          <t>Deformed Rebar Ø16mm (F-1)</t>
        </is>
      </c>
      <c r="D6" s="5" t="inlineStr">
        <is>
          <t>Uploaded Drawing</t>
        </is>
      </c>
      <c r="E6" s="4" t="inlineStr">
        <is>
          <t>Uploaded Drawing</t>
        </is>
      </c>
      <c r="F6" s="7" t="n">
        <v>1.7</v>
      </c>
      <c r="G6" s="7" t="n">
        <v>1</v>
      </c>
      <c r="H6" s="7" t="n">
        <v>1</v>
      </c>
      <c r="I6" s="8" t="n">
        <v>40</v>
      </c>
      <c r="J6" s="6" t="n">
        <v>107.3</v>
      </c>
      <c r="K6" s="4" t="inlineStr">
        <is>
          <t>kg</t>
        </is>
      </c>
      <c r="L6" s="7" t="n">
        <v>54.68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REB-2.0</t>
        </is>
      </c>
      <c r="C7" s="5" t="inlineStr">
        <is>
          <t>#16 G.I. Tie Wire (F-1)</t>
        </is>
      </c>
      <c r="D7" s="5" t="inlineStr">
        <is>
          <t>Uploaded Drawing</t>
        </is>
      </c>
      <c r="E7" s="4" t="inlineStr">
        <is>
          <t>Uploaded Drawing</t>
        </is>
      </c>
      <c r="F7" s="7" t="n">
        <v>107.3</v>
      </c>
      <c r="G7" s="7" t="n">
        <v>1</v>
      </c>
      <c r="H7" s="7" t="n">
        <v>1</v>
      </c>
      <c r="I7" s="8" t="n">
        <v>1</v>
      </c>
      <c r="J7" s="6" t="n">
        <v>1.61</v>
      </c>
      <c r="K7" s="4" t="inlineStr">
        <is>
          <t>kg</t>
        </is>
      </c>
      <c r="L7" s="7" t="n">
        <v>62.5</v>
      </c>
      <c r="M7" s="6">
        <f>J7*L7</f>
        <v/>
      </c>
      <c r="N7" s="4" t="inlineStr">
        <is>
          <t>Confirmed</t>
        </is>
      </c>
    </row>
    <row r="8">
      <c r="A8" s="5" t="inlineStr">
        <is>
          <t>II. Concrete Works</t>
        </is>
      </c>
      <c r="B8" s="4" t="inlineStr">
        <is>
          <t>CON-1.2</t>
        </is>
      </c>
      <c r="C8" s="5" t="inlineStr">
        <is>
          <t>Concrete Works - Columns (C-1, Class A)</t>
        </is>
      </c>
      <c r="D8" s="5" t="inlineStr">
        <is>
          <t>Uploaded Drawing</t>
        </is>
      </c>
      <c r="E8" s="4" t="inlineStr">
        <is>
          <t>Uploaded Drawing</t>
        </is>
      </c>
      <c r="F8" s="7" t="n">
        <v>0.35</v>
      </c>
      <c r="G8" s="7" t="n">
        <v>0.35</v>
      </c>
      <c r="H8" s="7" t="n">
        <v>3</v>
      </c>
      <c r="I8" s="8" t="n">
        <v>4</v>
      </c>
      <c r="J8" s="6" t="n">
        <v>1.47</v>
      </c>
      <c r="K8" s="4" t="inlineStr">
        <is>
          <t>cu.m.</t>
        </is>
      </c>
      <c r="L8" s="7" t="n">
        <v>4952.705</v>
      </c>
      <c r="M8" s="6">
        <f>J8*L8</f>
        <v/>
      </c>
      <c r="N8" s="4" t="inlineStr">
        <is>
          <t>Confirmed</t>
        </is>
      </c>
    </row>
    <row r="9">
      <c r="A9" s="5" t="inlineStr">
        <is>
          <t>III. Steel Reinforcement</t>
        </is>
      </c>
      <c r="B9" s="4" t="inlineStr">
        <is>
          <t>REB-2.20</t>
        </is>
      </c>
      <c r="C9" s="5" t="inlineStr">
        <is>
          <t>Deformed Rebar Ø20mm (C-1)</t>
        </is>
      </c>
      <c r="D9" s="5" t="inlineStr">
        <is>
          <t>Uploaded Drawing</t>
        </is>
      </c>
      <c r="E9" s="4" t="inlineStr">
        <is>
          <t>Uploaded Drawing</t>
        </is>
      </c>
      <c r="F9" s="7" t="n">
        <v>3.6</v>
      </c>
      <c r="G9" s="7" t="n">
        <v>1</v>
      </c>
      <c r="H9" s="7" t="n">
        <v>1</v>
      </c>
      <c r="I9" s="8" t="n">
        <v>32</v>
      </c>
      <c r="J9" s="6" t="n">
        <v>284.08</v>
      </c>
      <c r="K9" s="4" t="inlineStr">
        <is>
          <t>kg</t>
        </is>
      </c>
      <c r="L9" s="7" t="n">
        <v>54.68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REB-2.10</t>
        </is>
      </c>
      <c r="C10" s="5" t="inlineStr">
        <is>
          <t>Deformed Rebar Ø10mm (C-1)</t>
        </is>
      </c>
      <c r="D10" s="5" t="inlineStr">
        <is>
          <t>Uploaded Drawing</t>
        </is>
      </c>
      <c r="E10" s="4" t="inlineStr">
        <is>
          <t>Uploaded Drawing</t>
        </is>
      </c>
      <c r="F10" s="7" t="n">
        <v>1.3</v>
      </c>
      <c r="G10" s="7" t="n">
        <v>1</v>
      </c>
      <c r="H10" s="7" t="n">
        <v>1</v>
      </c>
      <c r="I10" s="8" t="n">
        <v>72</v>
      </c>
      <c r="J10" s="6" t="n">
        <v>57.75</v>
      </c>
      <c r="K10" s="4" t="inlineStr">
        <is>
          <t>kg</t>
        </is>
      </c>
      <c r="L10" s="7" t="n">
        <v>54.68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(C-1)</t>
        </is>
      </c>
      <c r="D11" s="5" t="inlineStr">
        <is>
          <t>Uploaded Drawing</t>
        </is>
      </c>
      <c r="E11" s="4" t="inlineStr">
        <is>
          <t>Uploaded Drawing</t>
        </is>
      </c>
      <c r="F11" s="7" t="n">
        <v>341.83</v>
      </c>
      <c r="G11" s="7" t="n">
        <v>1</v>
      </c>
      <c r="H11" s="7" t="n">
        <v>1</v>
      </c>
      <c r="I11" s="8" t="n">
        <v>1</v>
      </c>
      <c r="J11" s="6" t="n">
        <v>5.13</v>
      </c>
      <c r="K11" s="4" t="inlineStr">
        <is>
          <t>kg</t>
        </is>
      </c>
      <c r="L11" s="7" t="n">
        <v>62.5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CON-1.3</t>
        </is>
      </c>
      <c r="C12" s="5" t="inlineStr">
        <is>
          <t>Concrete Works - Beams (GB-1, Class A)</t>
        </is>
      </c>
      <c r="D12" s="5" t="inlineStr">
        <is>
          <t>Uploaded Drawing</t>
        </is>
      </c>
      <c r="E12" s="4" t="inlineStr">
        <is>
          <t>Uploaded Drawing</t>
        </is>
      </c>
      <c r="F12" s="7" t="n">
        <v>4.5</v>
      </c>
      <c r="G12" s="7" t="n">
        <v>0.25</v>
      </c>
      <c r="H12" s="7" t="n">
        <v>0.45</v>
      </c>
      <c r="I12" s="8" t="n">
        <v>4</v>
      </c>
      <c r="J12" s="6" t="n">
        <v>2.025</v>
      </c>
      <c r="K12" s="4" t="inlineStr">
        <is>
          <t>cu.m.</t>
        </is>
      </c>
      <c r="L12" s="7" t="n">
        <v>4952.705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III. Steel Reinforcement</t>
        </is>
      </c>
      <c r="B13" s="4" t="inlineStr">
        <is>
          <t>REB-2.20</t>
        </is>
      </c>
      <c r="C13" s="5" t="inlineStr">
        <is>
          <t>Deformed Rebar Ø20mm (GB-1)</t>
        </is>
      </c>
      <c r="D13" s="5" t="inlineStr">
        <is>
          <t>Uploaded Drawing</t>
        </is>
      </c>
      <c r="E13" s="4" t="inlineStr">
        <is>
          <t>Uploaded Drawing</t>
        </is>
      </c>
      <c r="F13" s="7" t="n">
        <v>5.2</v>
      </c>
      <c r="G13" s="7" t="n">
        <v>1</v>
      </c>
      <c r="H13" s="7" t="n">
        <v>1</v>
      </c>
      <c r="I13" s="8" t="n">
        <v>24</v>
      </c>
      <c r="J13" s="6" t="n">
        <v>307.76</v>
      </c>
      <c r="K13" s="4" t="inlineStr">
        <is>
          <t>kg</t>
        </is>
      </c>
      <c r="L13" s="7" t="n">
        <v>54.68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III. Steel Reinforcement</t>
        </is>
      </c>
      <c r="B14" s="4" t="inlineStr">
        <is>
          <t>REB-2.10</t>
        </is>
      </c>
      <c r="C14" s="5" t="inlineStr">
        <is>
          <t>Deformed Rebar Ø10mm (GB-1)</t>
        </is>
      </c>
      <c r="D14" s="5" t="inlineStr">
        <is>
          <t>Uploaded Drawing</t>
        </is>
      </c>
      <c r="E14" s="4" t="inlineStr">
        <is>
          <t>Uploaded Drawing</t>
        </is>
      </c>
      <c r="F14" s="7" t="n">
        <v>1.3</v>
      </c>
      <c r="G14" s="7" t="n">
        <v>1</v>
      </c>
      <c r="H14" s="7" t="n">
        <v>1</v>
      </c>
      <c r="I14" s="8" t="n">
        <v>100</v>
      </c>
      <c r="J14" s="6" t="n">
        <v>80.20999999999999</v>
      </c>
      <c r="K14" s="4" t="inlineStr">
        <is>
          <t>kg</t>
        </is>
      </c>
      <c r="L14" s="7" t="n">
        <v>54.68</v>
      </c>
      <c r="M14" s="6">
        <f>J14*L14</f>
        <v/>
      </c>
      <c r="N14" s="4" t="inlineStr">
        <is>
          <t>Confirmed</t>
        </is>
      </c>
    </row>
    <row r="15">
      <c r="A15" s="5" t="inlineStr">
        <is>
          <t>III. Steel Reinforcement</t>
        </is>
      </c>
      <c r="B15" s="4" t="inlineStr">
        <is>
          <t>REB-2.0</t>
        </is>
      </c>
      <c r="C15" s="5" t="inlineStr">
        <is>
          <t>#16 G.I. Tie Wire (GB-1)</t>
        </is>
      </c>
      <c r="D15" s="5" t="inlineStr">
        <is>
          <t>Uploaded Drawing</t>
        </is>
      </c>
      <c r="E15" s="4" t="inlineStr">
        <is>
          <t>Uploaded Drawing</t>
        </is>
      </c>
      <c r="F15" s="7" t="n">
        <v>387.97</v>
      </c>
      <c r="G15" s="7" t="n">
        <v>1</v>
      </c>
      <c r="H15" s="7" t="n">
        <v>1</v>
      </c>
      <c r="I15" s="8" t="n">
        <v>1</v>
      </c>
      <c r="J15" s="6" t="n">
        <v>5.82</v>
      </c>
      <c r="K15" s="4" t="inlineStr">
        <is>
          <t>kg</t>
        </is>
      </c>
      <c r="L15" s="7" t="n">
        <v>62.5</v>
      </c>
      <c r="M15" s="6">
        <f>J15*L15</f>
        <v/>
      </c>
      <c r="N15" s="4" t="inlineStr">
        <is>
          <t>Confirmed</t>
        </is>
      </c>
    </row>
    <row r="16">
      <c r="A16" s="5" t="inlineStr">
        <is>
          <t>II. Concrete Works</t>
        </is>
      </c>
      <c r="B16" s="4" t="inlineStr">
        <is>
          <t>CON-1.4</t>
        </is>
      </c>
      <c r="C16" s="5" t="inlineStr">
        <is>
          <t>Concrete Works - Slabs (S-1, Class A)</t>
        </is>
      </c>
      <c r="D16" s="5" t="inlineStr">
        <is>
          <t>Uploaded Drawing</t>
        </is>
      </c>
      <c r="E16" s="4" t="inlineStr">
        <is>
          <t>Uploaded Drawing</t>
        </is>
      </c>
      <c r="F16" s="7" t="n">
        <v>6</v>
      </c>
      <c r="G16" s="7" t="n">
        <v>5</v>
      </c>
      <c r="H16" s="7" t="n">
        <v>0.125</v>
      </c>
      <c r="I16" s="8" t="n">
        <v>1</v>
      </c>
      <c r="J16" s="6" t="n">
        <v>3.75</v>
      </c>
      <c r="K16" s="4" t="inlineStr">
        <is>
          <t>cu.m.</t>
        </is>
      </c>
      <c r="L16" s="7" t="n">
        <v>4952.705</v>
      </c>
      <c r="M16" s="6">
        <f>J16*L16</f>
        <v/>
      </c>
      <c r="N16" s="4" t="inlineStr">
        <is>
          <t>Confirmed</t>
        </is>
      </c>
    </row>
    <row r="17">
      <c r="A17" s="5" t="inlineStr">
        <is>
          <t>III. Steel Reinforcement</t>
        </is>
      </c>
      <c r="B17" s="4" t="inlineStr">
        <is>
          <t>REB-2.12</t>
        </is>
      </c>
      <c r="C17" s="5" t="inlineStr">
        <is>
          <t>Deformed Rebar Ø12mm (S-1)</t>
        </is>
      </c>
      <c r="D17" s="5" t="inlineStr">
        <is>
          <t>Uploaded Drawing</t>
        </is>
      </c>
      <c r="E17" s="4" t="inlineStr">
        <is>
          <t>Uploaded Drawing</t>
        </is>
      </c>
      <c r="F17" s="7" t="n">
        <v>6.2</v>
      </c>
      <c r="G17" s="7" t="n">
        <v>1</v>
      </c>
      <c r="H17" s="7" t="n">
        <v>1</v>
      </c>
      <c r="I17" s="8" t="n">
        <v>25</v>
      </c>
      <c r="J17" s="6" t="n">
        <v>137.64</v>
      </c>
      <c r="K17" s="4" t="inlineStr">
        <is>
          <t>kg</t>
        </is>
      </c>
      <c r="L17" s="7" t="n">
        <v>54.68</v>
      </c>
      <c r="M17" s="6">
        <f>J17*L17</f>
        <v/>
      </c>
      <c r="N17" s="4" t="inlineStr">
        <is>
          <t>Confirmed</t>
        </is>
      </c>
    </row>
    <row r="18">
      <c r="A18" s="5" t="inlineStr">
        <is>
          <t>III. Steel Reinforcement</t>
        </is>
      </c>
      <c r="B18" s="4" t="inlineStr">
        <is>
          <t>REB-2.0</t>
        </is>
      </c>
      <c r="C18" s="5" t="inlineStr">
        <is>
          <t>#16 G.I. Tie Wire (S-1)</t>
        </is>
      </c>
      <c r="D18" s="5" t="inlineStr">
        <is>
          <t>Uploaded Drawing</t>
        </is>
      </c>
      <c r="E18" s="4" t="inlineStr">
        <is>
          <t>Uploaded Drawing</t>
        </is>
      </c>
      <c r="F18" s="7" t="n">
        <v>137.64</v>
      </c>
      <c r="G18" s="7" t="n">
        <v>1</v>
      </c>
      <c r="H18" s="7" t="n">
        <v>1</v>
      </c>
      <c r="I18" s="8" t="n">
        <v>1</v>
      </c>
      <c r="J18" s="6" t="n">
        <v>2.06</v>
      </c>
      <c r="K18" s="4" t="inlineStr">
        <is>
          <t>kg</t>
        </is>
      </c>
      <c r="L18" s="7" t="n">
        <v>62.5</v>
      </c>
      <c r="M18" s="6">
        <f>J18*L18</f>
        <v/>
      </c>
      <c r="N18" s="4" t="inlineStr">
        <is>
          <t>Confirmed</t>
        </is>
      </c>
    </row>
    <row r="19">
      <c r="A19" s="5" t="inlineStr">
        <is>
          <t>IV. Masonry Works</t>
        </is>
      </c>
      <c r="B19" s="4" t="inlineStr">
        <is>
          <t>MAS-3.2</t>
        </is>
      </c>
      <c r="C19" s="5" t="inlineStr">
        <is>
          <t>150mm CHB Wall (W-1; Class B mortar: 1.010 bag/m², 0.0840 m³ sand/m²)</t>
        </is>
      </c>
      <c r="D19" s="5" t="inlineStr">
        <is>
          <t>Uploaded Drawing</t>
        </is>
      </c>
      <c r="E19" s="4" t="inlineStr">
        <is>
          <t>Uploaded Drawing</t>
        </is>
      </c>
      <c r="F19" s="7" t="n">
        <v>6</v>
      </c>
      <c r="G19" s="7" t="n">
        <v>1</v>
      </c>
      <c r="H19" s="7" t="n">
        <v>3</v>
      </c>
      <c r="I19" s="8" t="n">
        <v>1</v>
      </c>
      <c r="J19" s="6" t="n">
        <v>18</v>
      </c>
      <c r="K19" s="4" t="inlineStr">
        <is>
          <t>sq.m.</t>
        </is>
      </c>
      <c r="L19" s="7" t="n">
        <v>830.16324</v>
      </c>
      <c r="M19" s="6">
        <f>J19*L19</f>
        <v/>
      </c>
      <c r="N19" s="4" t="inlineStr">
        <is>
          <t>Confirmed</t>
        </is>
      </c>
    </row>
    <row r="20">
      <c r="A20" s="5" t="inlineStr">
        <is>
          <t>IV. Masonry Works</t>
        </is>
      </c>
      <c r="B20" s="4" t="inlineStr">
        <is>
          <t>MAS-3.3</t>
        </is>
      </c>
      <c r="C20" s="5" t="inlineStr">
        <is>
          <t>16mm Cement Plaster (2 faces, W-1; Class B: 0.192 bag/m², 0.0160 m³ sand/m²)</t>
        </is>
      </c>
      <c r="D20" s="5" t="inlineStr">
        <is>
          <t>Uploaded Drawing</t>
        </is>
      </c>
      <c r="E20" s="4" t="inlineStr">
        <is>
          <t>Uploaded Drawing</t>
        </is>
      </c>
      <c r="F20" s="7" t="n">
        <v>18</v>
      </c>
      <c r="G20" s="7" t="n">
        <v>1</v>
      </c>
      <c r="H20" s="7" t="n">
        <v>1</v>
      </c>
      <c r="I20" s="8" t="n">
        <v>2</v>
      </c>
      <c r="J20" s="6" t="n">
        <v>36</v>
      </c>
      <c r="K20" s="4" t="inlineStr">
        <is>
          <t>sq.m.</t>
        </is>
      </c>
      <c r="L20" s="7" t="n">
        <v>173.00048</v>
      </c>
      <c r="M20" s="6">
        <f>J20*L20</f>
        <v/>
      </c>
      <c r="N20" s="4" t="inlineStr">
        <is>
          <t>Confirmed</t>
        </is>
      </c>
    </row>
    <row r="21">
      <c r="C21" s="9" t="inlineStr">
        <is>
          <t>TOTAL BACK-UP COMPUTATION AMOUNT (PHP)</t>
        </is>
      </c>
      <c r="M21" s="10">
        <f>SUM(M5:M20)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REB-2.16</t>
        </is>
      </c>
      <c r="C6" s="5" t="inlineStr">
        <is>
          <t>Deformed Rebar Ø16mm</t>
        </is>
      </c>
      <c r="D6" s="4" t="inlineStr">
        <is>
          <t>kg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REB-2.0</t>
        </is>
      </c>
      <c r="C7" s="5" t="inlineStr">
        <is>
          <t>#16 G.I. Tie Wire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CON-1.2</t>
        </is>
      </c>
      <c r="C8" s="5" t="inlineStr">
        <is>
          <t>Concrete Works - Columns</t>
        </is>
      </c>
      <c r="D8" s="4" t="inlineStr">
        <is>
          <t>cu.m.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REB-2.20</t>
        </is>
      </c>
      <c r="C9" s="5" t="inlineStr">
        <is>
          <t>Deformed Rebar Ø20mm</t>
        </is>
      </c>
      <c r="D9" s="4" t="inlineStr">
        <is>
          <t>kg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REB-2.10</t>
        </is>
      </c>
      <c r="C10" s="5" t="inlineStr">
        <is>
          <t>Deformed Rebar Ø10mm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CON-1.3</t>
        </is>
      </c>
      <c r="C11" s="5" t="inlineStr">
        <is>
          <t>Concrete Works - Beams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CON-1.4</t>
        </is>
      </c>
      <c r="C12" s="5" t="inlineStr">
        <is>
          <t>Concrete Works - Slabs</t>
        </is>
      </c>
      <c r="D12" s="4" t="inlineStr">
        <is>
          <t>cu.m.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REB-2.12</t>
        </is>
      </c>
      <c r="C13" s="5" t="inlineStr">
        <is>
          <t>Deformed Rebar Ø12mm</t>
        </is>
      </c>
      <c r="D13" s="4" t="inlineStr">
        <is>
          <t>kg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A14" s="4" t="inlineStr">
        <is>
          <t>2.10</t>
        </is>
      </c>
      <c r="B14" s="4" t="inlineStr">
        <is>
          <t>MAS-3.2</t>
        </is>
      </c>
      <c r="C14" s="5" t="inlineStr">
        <is>
          <t>150mm CHB Wall</t>
        </is>
      </c>
      <c r="D14" s="4" t="inlineStr">
        <is>
          <t>sq.m.</t>
        </is>
      </c>
      <c r="E14" s="6">
        <f>SUMIF('Back-Up Computation'!B:B, B14, 'Back-Up Computation'!J:J)</f>
        <v/>
      </c>
      <c r="F14" s="6">
        <f>IF(E14&gt;0, G14/E14, 0)</f>
        <v/>
      </c>
      <c r="G14" s="6">
        <f>SUMIF('Back-Up Computation'!B:B, B14, 'Back-Up Computation'!M:M)</f>
        <v/>
      </c>
      <c r="H14" s="4" t="inlineStr">
        <is>
          <t>Confirmed</t>
        </is>
      </c>
    </row>
    <row r="15">
      <c r="A15" s="4" t="inlineStr">
        <is>
          <t>2.11</t>
        </is>
      </c>
      <c r="B15" s="4" t="inlineStr">
        <is>
          <t>MAS-3.3</t>
        </is>
      </c>
      <c r="C15" s="5" t="inlineStr">
        <is>
          <t>16mm Cement Plaster</t>
        </is>
      </c>
      <c r="D15" s="4" t="inlineStr">
        <is>
          <t>sq.m.</t>
        </is>
      </c>
      <c r="E15" s="6">
        <f>SUMIF('Back-Up Computation'!B:B, B15, 'Back-Up Computation'!J:J)</f>
        <v/>
      </c>
      <c r="F15" s="6">
        <f>IF(E15&gt;0, G15/E15, 0)</f>
        <v/>
      </c>
      <c r="G15" s="6">
        <f>SUMIF('Back-Up Computation'!B:B, B15, 'Back-Up Computation'!M:M)</f>
        <v/>
      </c>
      <c r="H15" s="4" t="inlineStr">
        <is>
          <t>Confirmed</t>
        </is>
      </c>
    </row>
    <row r="16">
      <c r="C16" s="9" t="inlineStr">
        <is>
          <t>GRAND TOTAL PROJECT DIRECT COST (PHP)</t>
        </is>
      </c>
      <c r="G16" s="10">
        <f>SUM(G5:G15)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2026-07-21T16:58:17Z</dcterms:created>
  <dcterms:modified xsi:type="dcterms:W3CDTF">2026-07-21T16:58:17Z</dcterms:modified>
</cp:coreProperties>
</file>