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 Cost Derivation" sheetId="1" state="visible" r:id="rId1"/>
    <sheet name="Back-Up Computation" sheetId="2" state="visible" r:id="rId2"/>
    <sheet name="Checklist BOQ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4" fontId="4" fillId="0" borderId="1" applyAlignment="1" pivotButton="0" quotePrefix="0" xfId="0">
      <alignment horizontal="right"/>
    </xf>
    <xf numFmtId="4" fontId="4" fillId="0" borderId="1" pivotButton="0" quotePrefix="0" xfId="0"/>
    <xf numFmtId="3" fontId="4" fillId="0" borderId="1" pivotButton="0" quotePrefix="0" xfId="0"/>
    <xf numFmtId="0" fontId="5" fillId="0" borderId="0" pivotButton="0" quotePrefix="0" xfId="0"/>
    <xf numFmtId="4" fontId="5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1" workbookViewId="0">
      <selection activeCell="A1" sqref="A1"/>
    </sheetView>
  </sheetViews>
  <sheetFormatPr baseColWidth="8" defaultRowHeight="15"/>
  <cols>
    <col width="95" customWidth="1" min="1" max="1"/>
    <col width="35" customWidth="1" min="2" max="2"/>
    <col width="12" customWidth="1" min="3" max="3"/>
    <col width="23" customWidth="1" min="4" max="4"/>
    <col width="33" customWidth="1" min="5" max="5"/>
  </cols>
  <sheetData>
    <row r="1">
      <c r="A1" s="1" t="inlineStr">
        <is>
          <t>UNIT COST DERIVATION &amp; BASE MATERIAL/LABOR RATES</t>
        </is>
      </c>
    </row>
    <row r="2">
      <c r="A2" s="2" t="inlineStr">
        <is>
          <t>Editable base parameters referencing regional Philippine construction material &amp; labor costs</t>
        </is>
      </c>
    </row>
    <row r="3"/>
    <row r="4">
      <c r="A4" s="3" t="inlineStr">
        <is>
          <t>Resource Code</t>
        </is>
      </c>
      <c r="B4" s="3" t="inlineStr">
        <is>
          <t>Resource / Material Name</t>
        </is>
      </c>
      <c r="C4" s="3" t="inlineStr">
        <is>
          <t>Unit</t>
        </is>
      </c>
      <c r="D4" s="3" t="inlineStr">
        <is>
          <t>Base Unit Cost (PHP)</t>
        </is>
      </c>
      <c r="E4" s="3" t="inlineStr">
        <is>
          <t>Notes / Source</t>
        </is>
      </c>
    </row>
    <row r="5">
      <c r="A5" s="4" t="inlineStr">
        <is>
          <t>MAT-01</t>
        </is>
      </c>
      <c r="B5" s="5" t="inlineStr">
        <is>
          <t>Cement (40kg bag)</t>
        </is>
      </c>
      <c r="C5" s="4" t="inlineStr">
        <is>
          <t>bag</t>
        </is>
      </c>
      <c r="D5" s="6" t="n">
        <v>310</v>
      </c>
      <c r="E5" s="5" t="inlineStr">
        <is>
          <t>Fajardo Class A/B Mix Standard</t>
        </is>
      </c>
    </row>
    <row r="6">
      <c r="A6" s="4" t="inlineStr">
        <is>
          <t>MAT-02</t>
        </is>
      </c>
      <c r="B6" s="5" t="inlineStr">
        <is>
          <t>Sand (cu.m.)</t>
        </is>
      </c>
      <c r="C6" s="4" t="inlineStr">
        <is>
          <t>cu.m.</t>
        </is>
      </c>
      <c r="D6" s="6" t="n">
        <v>1200</v>
      </c>
      <c r="E6" s="5" t="inlineStr">
        <is>
          <t>Washed River Sand</t>
        </is>
      </c>
    </row>
    <row r="7">
      <c r="A7" s="4" t="inlineStr">
        <is>
          <t>MAT-03</t>
        </is>
      </c>
      <c r="B7" s="5" t="inlineStr">
        <is>
          <t>Gravel (cu.m.)</t>
        </is>
      </c>
      <c r="C7" s="4" t="inlineStr">
        <is>
          <t>cu.m.</t>
        </is>
      </c>
      <c r="D7" s="6" t="n">
        <v>1400</v>
      </c>
      <c r="E7" s="5" t="inlineStr">
        <is>
          <t>Gravel 3/4" Crushed</t>
        </is>
      </c>
    </row>
    <row r="8">
      <c r="A8" s="4" t="inlineStr">
        <is>
          <t>MAT-04</t>
        </is>
      </c>
      <c r="B8" s="5" t="inlineStr">
        <is>
          <t>Rebar (per kg)</t>
        </is>
      </c>
      <c r="C8" s="4" t="inlineStr">
        <is>
          <t>kg</t>
        </is>
      </c>
      <c r="D8" s="6" t="n">
        <v>45</v>
      </c>
      <c r="E8" s="5" t="inlineStr">
        <is>
          <t>Deformed Bar Grade 33/40</t>
        </is>
      </c>
    </row>
    <row r="9">
      <c r="A9" s="4" t="inlineStr">
        <is>
          <t>MAT-05</t>
        </is>
      </c>
      <c r="B9" s="5" t="inlineStr">
        <is>
          <t>Tie Wire #16 G.I. (per kg)</t>
        </is>
      </c>
      <c r="C9" s="4" t="inlineStr">
        <is>
          <t>kg</t>
        </is>
      </c>
      <c r="D9" s="6" t="n">
        <v>90</v>
      </c>
      <c r="E9" s="5" t="inlineStr">
        <is>
          <t>15kg per Metric Ton Steel</t>
        </is>
      </c>
    </row>
    <row r="10">
      <c r="A10" s="4" t="inlineStr">
        <is>
          <t>MAT-06</t>
        </is>
      </c>
      <c r="B10" s="5" t="inlineStr">
        <is>
          <t>100mm CHB (per pc)</t>
        </is>
      </c>
      <c r="C10" s="4" t="inlineStr">
        <is>
          <t>pc</t>
        </is>
      </c>
      <c r="D10" s="6" t="n">
        <v>14</v>
      </c>
      <c r="E10" s="5" t="inlineStr">
        <is>
          <t>Standard 4" Block</t>
        </is>
      </c>
    </row>
    <row r="11">
      <c r="A11" s="4" t="inlineStr">
        <is>
          <t>MAT-07</t>
        </is>
      </c>
      <c r="B11" s="5" t="inlineStr">
        <is>
          <t>150mm CHB (per pc)</t>
        </is>
      </c>
      <c r="C11" s="4" t="inlineStr">
        <is>
          <t>pc</t>
        </is>
      </c>
      <c r="D11" s="6" t="n">
        <v>18</v>
      </c>
      <c r="E11" s="5" t="inlineStr">
        <is>
          <t>Standard 6" Block</t>
        </is>
      </c>
    </row>
    <row r="12">
      <c r="A12" s="4" t="inlineStr">
        <is>
          <t>LAB-01</t>
        </is>
      </c>
      <c r="B12" s="5" t="inlineStr">
        <is>
          <t>Concrete Works Labor (per cu.m.)</t>
        </is>
      </c>
      <c r="C12" s="4" t="inlineStr">
        <is>
          <t>cu.m.</t>
        </is>
      </c>
      <c r="D12" s="6" t="n">
        <v>850</v>
      </c>
      <c r="E12" s="5" t="inlineStr">
        <is>
          <t>Mixing, Pouring &amp; Compaction</t>
        </is>
      </c>
    </row>
    <row r="13">
      <c r="A13" s="4" t="inlineStr">
        <is>
          <t>LAB-02</t>
        </is>
      </c>
      <c r="B13" s="5" t="inlineStr">
        <is>
          <t>Rebar Works Labor (per kg)</t>
        </is>
      </c>
      <c r="C13" s="4" t="inlineStr">
        <is>
          <t>kg</t>
        </is>
      </c>
      <c r="D13" s="6" t="n">
        <v>12</v>
      </c>
      <c r="E13" s="5" t="inlineStr">
        <is>
          <t>Cutting, Bending &amp; Tying</t>
        </is>
      </c>
    </row>
    <row r="14">
      <c r="A14" s="4" t="inlineStr">
        <is>
          <t>LAB-03</t>
        </is>
      </c>
      <c r="B14" s="5" t="inlineStr">
        <is>
          <t>Masonry Works Labor (per sq.m.)</t>
        </is>
      </c>
      <c r="C14" s="4" t="inlineStr">
        <is>
          <t>sq.m.</t>
        </is>
      </c>
      <c r="D14" s="6" t="n">
        <v>220</v>
      </c>
      <c r="E14" s="5" t="inlineStr">
        <is>
          <t>Laying &amp; 16mm Plastering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"/>
  <sheetViews>
    <sheetView showGridLines="1" workbookViewId="0">
      <selection activeCell="A1" sqref="A1"/>
    </sheetView>
  </sheetViews>
  <sheetFormatPr baseColWidth="8" defaultRowHeight="15"/>
  <cols>
    <col width="85" customWidth="1" min="1" max="1"/>
    <col width="12" customWidth="1" min="2" max="2"/>
    <col width="79" customWidth="1" min="3" max="3"/>
    <col width="23" customWidth="1" min="4" max="4"/>
    <col width="14" customWidth="1" min="5" max="5"/>
    <col width="20" customWidth="1" min="6" max="6"/>
    <col width="12" customWidth="1" min="7" max="7"/>
    <col width="21" customWidth="1" min="8" max="8"/>
    <col width="12" customWidth="1" min="9" max="9"/>
    <col width="14" customWidth="1" min="10" max="10"/>
    <col width="12" customWidth="1" min="11" max="11"/>
    <col width="18" customWidth="1" min="12" max="12"/>
    <col width="15" customWidth="1" min="13" max="13"/>
    <col width="12" customWidth="1" min="14" max="14"/>
  </cols>
  <sheetData>
    <row r="1">
      <c r="A1" s="1" t="inlineStr">
        <is>
          <t>DETAILED BACK-UP COMPUTATION SHEET</t>
        </is>
      </c>
    </row>
    <row r="2">
      <c r="A2" s="2" t="inlineStr">
        <is>
          <t>Element-level geometric takeoff &amp; quantity derivations traceable to drawing sheets</t>
        </is>
      </c>
    </row>
    <row r="3"/>
    <row r="4">
      <c r="A4" s="3" t="inlineStr">
        <is>
          <t>Work Section</t>
        </is>
      </c>
      <c r="B4" s="3" t="inlineStr">
        <is>
          <t>Item Code</t>
        </is>
      </c>
      <c r="C4" s="3" t="inlineStr">
        <is>
          <t>Element &amp; Description</t>
        </is>
      </c>
      <c r="D4" s="3" t="inlineStr">
        <is>
          <t>Location Description</t>
        </is>
      </c>
      <c r="E4" s="3" t="inlineStr">
        <is>
          <t>Drawing Ref</t>
        </is>
      </c>
      <c r="F4" s="3" t="inlineStr">
        <is>
          <t>Length / Area (m)</t>
        </is>
      </c>
      <c r="G4" s="3" t="inlineStr">
        <is>
          <t>Width (m)</t>
        </is>
      </c>
      <c r="H4" s="3" t="inlineStr">
        <is>
          <t>Height / Thick (m)</t>
        </is>
      </c>
      <c r="I4" s="3" t="inlineStr">
        <is>
          <t>Count</t>
        </is>
      </c>
      <c r="J4" s="3" t="inlineStr">
        <is>
          <t>Takeoff Qty</t>
        </is>
      </c>
      <c r="K4" s="3" t="inlineStr">
        <is>
          <t>Unit</t>
        </is>
      </c>
      <c r="L4" s="3" t="inlineStr">
        <is>
          <t>Unit Cost (PHP)</t>
        </is>
      </c>
      <c r="M4" s="3" t="inlineStr">
        <is>
          <t>Amount (PHP)</t>
        </is>
      </c>
      <c r="N4" s="3" t="inlineStr">
        <is>
          <t>Status</t>
        </is>
      </c>
    </row>
    <row r="5">
      <c r="A5" s="5" t="inlineStr">
        <is>
          <t>II. Concrete Works</t>
        </is>
      </c>
      <c r="B5" s="4" t="inlineStr">
        <is>
          <t>CON-1.1</t>
        </is>
      </c>
      <c r="C5" s="5" t="inlineStr">
        <is>
          <t>Concrete Works - Isolated Footings (F-1, Class A)</t>
        </is>
      </c>
      <c r="D5" s="5" t="inlineStr">
        <is>
          <t>Grid 1-A to 4-D</t>
        </is>
      </c>
      <c r="E5" s="4" t="inlineStr">
        <is>
          <t>S-1 Sheet 1</t>
        </is>
      </c>
      <c r="F5" s="7" t="n">
        <v>1.5</v>
      </c>
      <c r="G5" s="7" t="n">
        <v>1.5</v>
      </c>
      <c r="H5" s="7" t="n">
        <v>0.45</v>
      </c>
      <c r="I5" s="8" t="n">
        <v>4</v>
      </c>
      <c r="J5" s="6" t="n">
        <v>4.05</v>
      </c>
      <c r="K5" s="4" t="inlineStr">
        <is>
          <t>cu.m.</t>
        </is>
      </c>
      <c r="L5" s="7" t="n">
        <v>5640</v>
      </c>
      <c r="M5" s="6">
        <f>J5*L5</f>
        <v/>
      </c>
      <c r="N5" s="4" t="inlineStr">
        <is>
          <t>Confirmed</t>
        </is>
      </c>
    </row>
    <row r="6">
      <c r="A6" s="5" t="inlineStr">
        <is>
          <t>II. Concrete Works</t>
        </is>
      </c>
      <c r="B6" s="4" t="inlineStr">
        <is>
          <t>CON-1.2</t>
        </is>
      </c>
      <c r="C6" s="5" t="inlineStr">
        <is>
          <t>Concrete Works - Columns (C-1, Class A)</t>
        </is>
      </c>
      <c r="D6" s="5" t="inlineStr">
        <is>
          <t>Ground to 2nd Floor</t>
        </is>
      </c>
      <c r="E6" s="4" t="inlineStr">
        <is>
          <t>S-1 Sheet 1</t>
        </is>
      </c>
      <c r="F6" s="7" t="n">
        <v>0.3</v>
      </c>
      <c r="G6" s="7" t="n">
        <v>0.3</v>
      </c>
      <c r="H6" s="7" t="n">
        <v>3</v>
      </c>
      <c r="I6" s="8" t="n">
        <v>4</v>
      </c>
      <c r="J6" s="6" t="n">
        <v>1.08</v>
      </c>
      <c r="K6" s="4" t="inlineStr">
        <is>
          <t>cu.m.</t>
        </is>
      </c>
      <c r="L6" s="7" t="n">
        <v>5640</v>
      </c>
      <c r="M6" s="6">
        <f>J6*L6</f>
        <v/>
      </c>
      <c r="N6" s="4" t="inlineStr">
        <is>
          <t>Confirmed</t>
        </is>
      </c>
    </row>
    <row r="7">
      <c r="A7" s="5" t="inlineStr">
        <is>
          <t>III. Steel Reinforcement</t>
        </is>
      </c>
      <c r="B7" s="4" t="inlineStr">
        <is>
          <t>REB-2.16</t>
        </is>
      </c>
      <c r="C7" s="5" t="inlineStr">
        <is>
          <t>Deformed Rebar Ø16mm (C-1)</t>
        </is>
      </c>
      <c r="D7" s="5" t="inlineStr">
        <is>
          <t>Ground to 2nd Floor</t>
        </is>
      </c>
      <c r="E7" s="4" t="inlineStr">
        <is>
          <t>S-1 Sheet 1</t>
        </is>
      </c>
      <c r="F7" s="7" t="n">
        <v>3.6</v>
      </c>
      <c r="G7" s="7" t="n">
        <v>1</v>
      </c>
      <c r="H7" s="7" t="n">
        <v>1</v>
      </c>
      <c r="I7" s="8" t="n">
        <v>32</v>
      </c>
      <c r="J7" s="6" t="n">
        <v>181.79</v>
      </c>
      <c r="K7" s="4" t="inlineStr">
        <is>
          <t>kg</t>
        </is>
      </c>
      <c r="L7" s="7" t="n">
        <v>57</v>
      </c>
      <c r="M7" s="6">
        <f>J7*L7</f>
        <v/>
      </c>
      <c r="N7" s="4" t="inlineStr">
        <is>
          <t>Confirmed</t>
        </is>
      </c>
    </row>
    <row r="8">
      <c r="A8" s="5" t="inlineStr">
        <is>
          <t>III. Steel Reinforcement</t>
        </is>
      </c>
      <c r="B8" s="4" t="inlineStr">
        <is>
          <t>REB-2.0</t>
        </is>
      </c>
      <c r="C8" s="5" t="inlineStr">
        <is>
          <t>#16 G.I. Tie Wire (C-1)</t>
        </is>
      </c>
      <c r="D8" s="5" t="inlineStr">
        <is>
          <t>Ground to 2nd Floor</t>
        </is>
      </c>
      <c r="E8" s="4" t="inlineStr">
        <is>
          <t>S-1 Sheet 1</t>
        </is>
      </c>
      <c r="F8" s="7" t="n">
        <v>181.79</v>
      </c>
      <c r="G8" s="7" t="n">
        <v>1</v>
      </c>
      <c r="H8" s="7" t="n">
        <v>1</v>
      </c>
      <c r="I8" s="8" t="n">
        <v>1</v>
      </c>
      <c r="J8" s="6" t="n">
        <v>2.73</v>
      </c>
      <c r="K8" s="4" t="inlineStr">
        <is>
          <t>kg</t>
        </is>
      </c>
      <c r="L8" s="7" t="n">
        <v>90</v>
      </c>
      <c r="M8" s="6">
        <f>J8*L8</f>
        <v/>
      </c>
      <c r="N8" s="4" t="inlineStr">
        <is>
          <t>Confirmed</t>
        </is>
      </c>
    </row>
    <row r="9">
      <c r="A9" s="5" t="inlineStr">
        <is>
          <t>II. Concrete Works</t>
        </is>
      </c>
      <c r="B9" s="4" t="inlineStr">
        <is>
          <t>CON-1.3</t>
        </is>
      </c>
      <c r="C9" s="5" t="inlineStr">
        <is>
          <t>Concrete Works - Beams (GB-1, Class A)</t>
        </is>
      </c>
      <c r="D9" s="5" t="inlineStr">
        <is>
          <t>2nd Floor Framing</t>
        </is>
      </c>
      <c r="E9" s="4" t="inlineStr">
        <is>
          <t>S-1 Sheet 1</t>
        </is>
      </c>
      <c r="F9" s="7" t="n">
        <v>4</v>
      </c>
      <c r="G9" s="7" t="n">
        <v>0.25</v>
      </c>
      <c r="H9" s="7" t="n">
        <v>0.5</v>
      </c>
      <c r="I9" s="8" t="n">
        <v>3</v>
      </c>
      <c r="J9" s="6" t="n">
        <v>1.5</v>
      </c>
      <c r="K9" s="4" t="inlineStr">
        <is>
          <t>cu.m.</t>
        </is>
      </c>
      <c r="L9" s="7" t="n">
        <v>5640</v>
      </c>
      <c r="M9" s="6">
        <f>J9*L9</f>
        <v/>
      </c>
      <c r="N9" s="4" t="inlineStr">
        <is>
          <t>Confirmed</t>
        </is>
      </c>
    </row>
    <row r="10">
      <c r="A10" s="5" t="inlineStr">
        <is>
          <t>III. Steel Reinforcement</t>
        </is>
      </c>
      <c r="B10" s="4" t="inlineStr">
        <is>
          <t>REB-2.20</t>
        </is>
      </c>
      <c r="C10" s="5" t="inlineStr">
        <is>
          <t>Deformed Rebar Ø20mm (GB-1)</t>
        </is>
      </c>
      <c r="D10" s="5" t="inlineStr">
        <is>
          <t>2nd Floor Framing</t>
        </is>
      </c>
      <c r="E10" s="4" t="inlineStr">
        <is>
          <t>S-1 Sheet 1</t>
        </is>
      </c>
      <c r="F10" s="7" t="n">
        <v>4.8</v>
      </c>
      <c r="G10" s="7" t="n">
        <v>1</v>
      </c>
      <c r="H10" s="7" t="n">
        <v>1</v>
      </c>
      <c r="I10" s="8" t="n">
        <v>18</v>
      </c>
      <c r="J10" s="6" t="n">
        <v>213.06</v>
      </c>
      <c r="K10" s="4" t="inlineStr">
        <is>
          <t>kg</t>
        </is>
      </c>
      <c r="L10" s="7" t="n">
        <v>57</v>
      </c>
      <c r="M10" s="6">
        <f>J10*L10</f>
        <v/>
      </c>
      <c r="N10" s="4" t="inlineStr">
        <is>
          <t>Confirmed</t>
        </is>
      </c>
    </row>
    <row r="11">
      <c r="A11" s="5" t="inlineStr">
        <is>
          <t>III. Steel Reinforcement</t>
        </is>
      </c>
      <c r="B11" s="4" t="inlineStr">
        <is>
          <t>REB-2.0</t>
        </is>
      </c>
      <c r="C11" s="5" t="inlineStr">
        <is>
          <t>#16 G.I. Tie Wire (GB-1)</t>
        </is>
      </c>
      <c r="D11" s="5" t="inlineStr">
        <is>
          <t>2nd Floor Framing</t>
        </is>
      </c>
      <c r="E11" s="4" t="inlineStr">
        <is>
          <t>S-1 Sheet 1</t>
        </is>
      </c>
      <c r="F11" s="7" t="n">
        <v>213.06</v>
      </c>
      <c r="G11" s="7" t="n">
        <v>1</v>
      </c>
      <c r="H11" s="7" t="n">
        <v>1</v>
      </c>
      <c r="I11" s="8" t="n">
        <v>1</v>
      </c>
      <c r="J11" s="6" t="n">
        <v>3.2</v>
      </c>
      <c r="K11" s="4" t="inlineStr">
        <is>
          <t>kg</t>
        </is>
      </c>
      <c r="L11" s="7" t="n">
        <v>90</v>
      </c>
      <c r="M11" s="6">
        <f>J11*L11</f>
        <v/>
      </c>
      <c r="N11" s="4" t="inlineStr">
        <is>
          <t>Confirmed</t>
        </is>
      </c>
    </row>
    <row r="12">
      <c r="A12" s="5" t="inlineStr">
        <is>
          <t>II. Concrete Works</t>
        </is>
      </c>
      <c r="B12" s="4" t="inlineStr">
        <is>
          <t>CON-1.4</t>
        </is>
      </c>
      <c r="C12" s="5" t="inlineStr">
        <is>
          <t>Concrete Works - Slabs (SL-1, Class A)</t>
        </is>
      </c>
      <c r="D12" s="5" t="inlineStr">
        <is>
          <t>2nd Floor Slab</t>
        </is>
      </c>
      <c r="E12" s="4" t="inlineStr">
        <is>
          <t>S-2 Sheet 2</t>
        </is>
      </c>
      <c r="F12" s="7" t="n">
        <v>8</v>
      </c>
      <c r="G12" s="7" t="n">
        <v>6</v>
      </c>
      <c r="H12" s="7" t="n">
        <v>0.125</v>
      </c>
      <c r="I12" s="8" t="n">
        <v>1</v>
      </c>
      <c r="J12" s="6" t="n">
        <v>6</v>
      </c>
      <c r="K12" s="4" t="inlineStr">
        <is>
          <t>cu.m.</t>
        </is>
      </c>
      <c r="L12" s="7" t="n">
        <v>5640</v>
      </c>
      <c r="M12" s="6">
        <f>J12*L12</f>
        <v/>
      </c>
      <c r="N12" s="4" t="inlineStr">
        <is>
          <t>Confirmed</t>
        </is>
      </c>
    </row>
    <row r="13">
      <c r="A13" s="5" t="inlineStr">
        <is>
          <t>IV. Masonry Works</t>
        </is>
      </c>
      <c r="B13" s="4" t="inlineStr">
        <is>
          <t>MAS-3.1</t>
        </is>
      </c>
      <c r="C13" s="5" t="inlineStr">
        <is>
          <t>100mm CHB Wall (W-1; Class B mortar: 0.522 bag/m², 0.0435 m³ sand/m²)</t>
        </is>
      </c>
      <c r="D13" s="5" t="inlineStr">
        <is>
          <t>Exterior Perimeter</t>
        </is>
      </c>
      <c r="E13" s="4" t="inlineStr">
        <is>
          <t>A-1 Sheet 1</t>
        </is>
      </c>
      <c r="F13" s="7" t="n">
        <v>8</v>
      </c>
      <c r="G13" s="7" t="n">
        <v>1</v>
      </c>
      <c r="H13" s="7" t="n">
        <v>3</v>
      </c>
      <c r="I13" s="8" t="n">
        <v>1</v>
      </c>
      <c r="J13" s="6" t="n">
        <v>20.4</v>
      </c>
      <c r="K13" s="4" t="inlineStr">
        <is>
          <t>sq.m.</t>
        </is>
      </c>
      <c r="L13" s="7" t="n">
        <v>609.02</v>
      </c>
      <c r="M13" s="6">
        <f>J13*L13</f>
        <v/>
      </c>
      <c r="N13" s="4" t="inlineStr">
        <is>
          <t>Confirmed</t>
        </is>
      </c>
    </row>
    <row r="14">
      <c r="A14" s="5" t="inlineStr">
        <is>
          <t>IV. Masonry Works</t>
        </is>
      </c>
      <c r="B14" s="4" t="inlineStr">
        <is>
          <t>MAS-3.3</t>
        </is>
      </c>
      <c r="C14" s="5" t="inlineStr">
        <is>
          <t>16mm Cement Plaster (2 faces, W-1; Class B: 0.192 bag/m², 0.0160 m³ sand/m²)</t>
        </is>
      </c>
      <c r="D14" s="5" t="inlineStr">
        <is>
          <t>Exterior Perimeter</t>
        </is>
      </c>
      <c r="E14" s="4" t="inlineStr">
        <is>
          <t>A-1 Sheet 1</t>
        </is>
      </c>
      <c r="F14" s="7" t="n">
        <v>20.4</v>
      </c>
      <c r="G14" s="7" t="n">
        <v>1</v>
      </c>
      <c r="H14" s="7" t="n">
        <v>1</v>
      </c>
      <c r="I14" s="8" t="n">
        <v>2</v>
      </c>
      <c r="J14" s="6" t="n">
        <v>40.8</v>
      </c>
      <c r="K14" s="4" t="inlineStr">
        <is>
          <t>sq.m.</t>
        </is>
      </c>
      <c r="L14" s="7" t="n">
        <v>188.72</v>
      </c>
      <c r="M14" s="6">
        <f>J14*L14</f>
        <v/>
      </c>
      <c r="N14" s="4" t="inlineStr">
        <is>
          <t>Confirmed</t>
        </is>
      </c>
    </row>
    <row r="15">
      <c r="C15" s="9" t="inlineStr">
        <is>
          <t>TOTAL BACK-UP COMPUTATION AMOUNT (PHP)</t>
        </is>
      </c>
      <c r="M15" s="10">
        <f>SUM(M5:M14)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81" customWidth="1" min="1" max="1"/>
    <col width="12" customWidth="1" min="2" max="2"/>
    <col width="40" customWidth="1" min="3" max="3"/>
    <col width="12" customWidth="1" min="4" max="4"/>
    <col width="68" customWidth="1" min="5" max="5"/>
    <col width="26" customWidth="1" min="6" max="6"/>
    <col width="68" customWidth="1" min="7" max="7"/>
    <col width="12" customWidth="1" min="8" max="8"/>
  </cols>
  <sheetData>
    <row r="1">
      <c r="A1" s="1" t="inlineStr">
        <is>
          <t>BILL OF QUANTITIES (BOQ) CHECKLIST SUMMARY</t>
        </is>
      </c>
    </row>
    <row r="2">
      <c r="A2" s="2" t="inlineStr">
        <is>
          <t>Itemized quantity rollup and cost summary for Concrete, Rebar &amp; Masonry Trades</t>
        </is>
      </c>
    </row>
    <row r="3"/>
    <row r="4">
      <c r="A4" s="3" t="inlineStr">
        <is>
          <t>Item No.</t>
        </is>
      </c>
      <c r="B4" s="3" t="inlineStr">
        <is>
          <t>Item Code</t>
        </is>
      </c>
      <c r="C4" s="3" t="inlineStr">
        <is>
          <t>Description</t>
        </is>
      </c>
      <c r="D4" s="3" t="inlineStr">
        <is>
          <t>Unit</t>
        </is>
      </c>
      <c r="E4" s="3" t="inlineStr">
        <is>
          <t>Takeoff Qty</t>
        </is>
      </c>
      <c r="F4" s="3" t="inlineStr">
        <is>
          <t>Blended Unit Cost (PHP)</t>
        </is>
      </c>
      <c r="G4" s="3" t="inlineStr">
        <is>
          <t>Total Amount (PHP)</t>
        </is>
      </c>
      <c r="H4" s="3" t="inlineStr">
        <is>
          <t>Status</t>
        </is>
      </c>
    </row>
    <row r="5">
      <c r="A5" s="4" t="inlineStr">
        <is>
          <t>2.1</t>
        </is>
      </c>
      <c r="B5" s="4" t="inlineStr">
        <is>
          <t>CON-1.1</t>
        </is>
      </c>
      <c r="C5" s="5" t="inlineStr">
        <is>
          <t>Concrete Works - Isolated Footings</t>
        </is>
      </c>
      <c r="D5" s="4" t="inlineStr">
        <is>
          <t>cu.m.</t>
        </is>
      </c>
      <c r="E5" s="6">
        <f>SUMIF('Back-Up Computation'!B:B, B5, 'Back-Up Computation'!J:J)</f>
        <v/>
      </c>
      <c r="F5" s="6">
        <f>IF(E5&gt;0, G5/E5, 0)</f>
        <v/>
      </c>
      <c r="G5" s="6">
        <f>SUMIF('Back-Up Computation'!B:B, B5, 'Back-Up Computation'!M:M)</f>
        <v/>
      </c>
      <c r="H5" s="4" t="inlineStr">
        <is>
          <t>Confirmed</t>
        </is>
      </c>
    </row>
    <row r="6">
      <c r="A6" s="4" t="inlineStr">
        <is>
          <t>2.2</t>
        </is>
      </c>
      <c r="B6" s="4" t="inlineStr">
        <is>
          <t>CON-1.2</t>
        </is>
      </c>
      <c r="C6" s="5" t="inlineStr">
        <is>
          <t>Concrete Works - Columns</t>
        </is>
      </c>
      <c r="D6" s="4" t="inlineStr">
        <is>
          <t>cu.m.</t>
        </is>
      </c>
      <c r="E6" s="6">
        <f>SUMIF('Back-Up Computation'!B:B, B6, 'Back-Up Computation'!J:J)</f>
        <v/>
      </c>
      <c r="F6" s="6">
        <f>IF(E6&gt;0, G6/E6, 0)</f>
        <v/>
      </c>
      <c r="G6" s="6">
        <f>SUMIF('Back-Up Computation'!B:B, B6, 'Back-Up Computation'!M:M)</f>
        <v/>
      </c>
      <c r="H6" s="4" t="inlineStr">
        <is>
          <t>Confirmed</t>
        </is>
      </c>
    </row>
    <row r="7">
      <c r="A7" s="4" t="inlineStr">
        <is>
          <t>2.3</t>
        </is>
      </c>
      <c r="B7" s="4" t="inlineStr">
        <is>
          <t>REB-2.16</t>
        </is>
      </c>
      <c r="C7" s="5" t="inlineStr">
        <is>
          <t>Deformed Rebar Ø16mm</t>
        </is>
      </c>
      <c r="D7" s="4" t="inlineStr">
        <is>
          <t>kg</t>
        </is>
      </c>
      <c r="E7" s="6">
        <f>SUMIF('Back-Up Computation'!B:B, B7, 'Back-Up Computation'!J:J)</f>
        <v/>
      </c>
      <c r="F7" s="6">
        <f>IF(E7&gt;0, G7/E7, 0)</f>
        <v/>
      </c>
      <c r="G7" s="6">
        <f>SUMIF('Back-Up Computation'!B:B, B7, 'Back-Up Computation'!M:M)</f>
        <v/>
      </c>
      <c r="H7" s="4" t="inlineStr">
        <is>
          <t>Confirmed</t>
        </is>
      </c>
    </row>
    <row r="8">
      <c r="A8" s="4" t="inlineStr">
        <is>
          <t>2.4</t>
        </is>
      </c>
      <c r="B8" s="4" t="inlineStr">
        <is>
          <t>REB-2.0</t>
        </is>
      </c>
      <c r="C8" s="5" t="inlineStr">
        <is>
          <t>#16 G.I. Tie Wire</t>
        </is>
      </c>
      <c r="D8" s="4" t="inlineStr">
        <is>
          <t>kg</t>
        </is>
      </c>
      <c r="E8" s="6">
        <f>SUMIF('Back-Up Computation'!B:B, B8, 'Back-Up Computation'!J:J)</f>
        <v/>
      </c>
      <c r="F8" s="6">
        <f>IF(E8&gt;0, G8/E8, 0)</f>
        <v/>
      </c>
      <c r="G8" s="6">
        <f>SUMIF('Back-Up Computation'!B:B, B8, 'Back-Up Computation'!M:M)</f>
        <v/>
      </c>
      <c r="H8" s="4" t="inlineStr">
        <is>
          <t>Confirmed</t>
        </is>
      </c>
    </row>
    <row r="9">
      <c r="A9" s="4" t="inlineStr">
        <is>
          <t>2.5</t>
        </is>
      </c>
      <c r="B9" s="4" t="inlineStr">
        <is>
          <t>CON-1.3</t>
        </is>
      </c>
      <c r="C9" s="5" t="inlineStr">
        <is>
          <t>Concrete Works - Beams</t>
        </is>
      </c>
      <c r="D9" s="4" t="inlineStr">
        <is>
          <t>cu.m.</t>
        </is>
      </c>
      <c r="E9" s="6">
        <f>SUMIF('Back-Up Computation'!B:B, B9, 'Back-Up Computation'!J:J)</f>
        <v/>
      </c>
      <c r="F9" s="6">
        <f>IF(E9&gt;0, G9/E9, 0)</f>
        <v/>
      </c>
      <c r="G9" s="6">
        <f>SUMIF('Back-Up Computation'!B:B, B9, 'Back-Up Computation'!M:M)</f>
        <v/>
      </c>
      <c r="H9" s="4" t="inlineStr">
        <is>
          <t>Confirmed</t>
        </is>
      </c>
    </row>
    <row r="10">
      <c r="A10" s="4" t="inlineStr">
        <is>
          <t>2.6</t>
        </is>
      </c>
      <c r="B10" s="4" t="inlineStr">
        <is>
          <t>REB-2.20</t>
        </is>
      </c>
      <c r="C10" s="5" t="inlineStr">
        <is>
          <t>Deformed Rebar Ø20mm</t>
        </is>
      </c>
      <c r="D10" s="4" t="inlineStr">
        <is>
          <t>kg</t>
        </is>
      </c>
      <c r="E10" s="6">
        <f>SUMIF('Back-Up Computation'!B:B, B10, 'Back-Up Computation'!J:J)</f>
        <v/>
      </c>
      <c r="F10" s="6">
        <f>IF(E10&gt;0, G10/E10, 0)</f>
        <v/>
      </c>
      <c r="G10" s="6">
        <f>SUMIF('Back-Up Computation'!B:B, B10, 'Back-Up Computation'!M:M)</f>
        <v/>
      </c>
      <c r="H10" s="4" t="inlineStr">
        <is>
          <t>Confirmed</t>
        </is>
      </c>
    </row>
    <row r="11">
      <c r="A11" s="4" t="inlineStr">
        <is>
          <t>2.7</t>
        </is>
      </c>
      <c r="B11" s="4" t="inlineStr">
        <is>
          <t>CON-1.4</t>
        </is>
      </c>
      <c r="C11" s="5" t="inlineStr">
        <is>
          <t>Concrete Works - Slabs</t>
        </is>
      </c>
      <c r="D11" s="4" t="inlineStr">
        <is>
          <t>cu.m.</t>
        </is>
      </c>
      <c r="E11" s="6">
        <f>SUMIF('Back-Up Computation'!B:B, B11, 'Back-Up Computation'!J:J)</f>
        <v/>
      </c>
      <c r="F11" s="6">
        <f>IF(E11&gt;0, G11/E11, 0)</f>
        <v/>
      </c>
      <c r="G11" s="6">
        <f>SUMIF('Back-Up Computation'!B:B, B11, 'Back-Up Computation'!M:M)</f>
        <v/>
      </c>
      <c r="H11" s="4" t="inlineStr">
        <is>
          <t>Confirmed</t>
        </is>
      </c>
    </row>
    <row r="12">
      <c r="A12" s="4" t="inlineStr">
        <is>
          <t>2.8</t>
        </is>
      </c>
      <c r="B12" s="4" t="inlineStr">
        <is>
          <t>MAS-3.1</t>
        </is>
      </c>
      <c r="C12" s="5" t="inlineStr">
        <is>
          <t>100mm CHB Wall</t>
        </is>
      </c>
      <c r="D12" s="4" t="inlineStr">
        <is>
          <t>sq.m.</t>
        </is>
      </c>
      <c r="E12" s="6">
        <f>SUMIF('Back-Up Computation'!B:B, B12, 'Back-Up Computation'!J:J)</f>
        <v/>
      </c>
      <c r="F12" s="6">
        <f>IF(E12&gt;0, G12/E12, 0)</f>
        <v/>
      </c>
      <c r="G12" s="6">
        <f>SUMIF('Back-Up Computation'!B:B, B12, 'Back-Up Computation'!M:M)</f>
        <v/>
      </c>
      <c r="H12" s="4" t="inlineStr">
        <is>
          <t>Confirmed</t>
        </is>
      </c>
    </row>
    <row r="13">
      <c r="A13" s="4" t="inlineStr">
        <is>
          <t>2.9</t>
        </is>
      </c>
      <c r="B13" s="4" t="inlineStr">
        <is>
          <t>MAS-3.3</t>
        </is>
      </c>
      <c r="C13" s="5" t="inlineStr">
        <is>
          <t>16mm Cement Plaster</t>
        </is>
      </c>
      <c r="D13" s="4" t="inlineStr">
        <is>
          <t>sq.m.</t>
        </is>
      </c>
      <c r="E13" s="6">
        <f>SUMIF('Back-Up Computation'!B:B, B13, 'Back-Up Computation'!J:J)</f>
        <v/>
      </c>
      <c r="F13" s="6">
        <f>IF(E13&gt;0, G13/E13, 0)</f>
        <v/>
      </c>
      <c r="G13" s="6">
        <f>SUMIF('Back-Up Computation'!B:B, B13, 'Back-Up Computation'!M:M)</f>
        <v/>
      </c>
      <c r="H13" s="4" t="inlineStr">
        <is>
          <t>Confirmed</t>
        </is>
      </c>
    </row>
    <row r="14">
      <c r="C14" s="9" t="inlineStr">
        <is>
          <t>GRAND TOTAL PROJECT DIRECT COST (PHP)</t>
        </is>
      </c>
      <c r="G14" s="10">
        <f>SUM(G5:G13)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2026-07-21T12:39:13Z</dcterms:created>
  <dcterms:modified xsi:type="dcterms:W3CDTF">2026-07-21T12:39:13Z</dcterms:modified>
</cp:coreProperties>
</file>