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 Sheet 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II. Concrete Works</t>
        </is>
      </c>
      <c r="B6" s="4" t="inlineStr">
        <is>
          <t>CON-1.2</t>
        </is>
      </c>
      <c r="C6" s="5" t="inlineStr">
        <is>
          <t>Concrete Works - Columns (C-1, Class A)</t>
        </is>
      </c>
      <c r="D6" s="5" t="inlineStr">
        <is>
          <t>Ground to 2nd Floor</t>
        </is>
      </c>
      <c r="E6" s="4" t="inlineStr">
        <is>
          <t>S-1 Sheet 1</t>
        </is>
      </c>
      <c r="F6" s="7" t="n">
        <v>0.3</v>
      </c>
      <c r="G6" s="7" t="n">
        <v>0.3</v>
      </c>
      <c r="H6" s="7" t="n">
        <v>3</v>
      </c>
      <c r="I6" s="8" t="n">
        <v>4</v>
      </c>
      <c r="J6" s="6" t="n">
        <v>1.08</v>
      </c>
      <c r="K6" s="4" t="inlineStr">
        <is>
          <t>cu.m.</t>
        </is>
      </c>
      <c r="L6" s="7" t="n">
        <v>5640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REB-2.16</t>
        </is>
      </c>
      <c r="C7" s="5" t="inlineStr">
        <is>
          <t>Deformed Rebar Ø16mm (C-1)</t>
        </is>
      </c>
      <c r="D7" s="5" t="inlineStr">
        <is>
          <t>Ground to 2nd Floor</t>
        </is>
      </c>
      <c r="E7" s="4" t="inlineStr">
        <is>
          <t>S-1 Sheet 1</t>
        </is>
      </c>
      <c r="F7" s="7" t="n">
        <v>3.6</v>
      </c>
      <c r="G7" s="7" t="n">
        <v>1</v>
      </c>
      <c r="H7" s="7" t="n">
        <v>1</v>
      </c>
      <c r="I7" s="8" t="n">
        <v>32</v>
      </c>
      <c r="J7" s="6" t="n">
        <v>181.79</v>
      </c>
      <c r="K7" s="4" t="inlineStr">
        <is>
          <t>kg</t>
        </is>
      </c>
      <c r="L7" s="7" t="n">
        <v>57</v>
      </c>
      <c r="M7" s="6">
        <f>J7*L7</f>
        <v/>
      </c>
      <c r="N7" s="4" t="inlineStr">
        <is>
          <t>Confirmed</t>
        </is>
      </c>
    </row>
    <row r="8">
      <c r="A8" s="5" t="inlineStr">
        <is>
          <t>III. Steel Reinforcement</t>
        </is>
      </c>
      <c r="B8" s="4" t="inlineStr">
        <is>
          <t>REB-2.0</t>
        </is>
      </c>
      <c r="C8" s="5" t="inlineStr">
        <is>
          <t>#16 G.I. Tie Wire (C-1)</t>
        </is>
      </c>
      <c r="D8" s="5" t="inlineStr">
        <is>
          <t>Ground to 2nd Floor</t>
        </is>
      </c>
      <c r="E8" s="4" t="inlineStr">
        <is>
          <t>S-1 Sheet 1</t>
        </is>
      </c>
      <c r="F8" s="7" t="n">
        <v>181.79</v>
      </c>
      <c r="G8" s="7" t="n">
        <v>1</v>
      </c>
      <c r="H8" s="7" t="n">
        <v>1</v>
      </c>
      <c r="I8" s="8" t="n">
        <v>1</v>
      </c>
      <c r="J8" s="6" t="n">
        <v>2.73</v>
      </c>
      <c r="K8" s="4" t="inlineStr">
        <is>
          <t>kg</t>
        </is>
      </c>
      <c r="L8" s="7" t="n">
        <v>90</v>
      </c>
      <c r="M8" s="6">
        <f>J8*L8</f>
        <v/>
      </c>
      <c r="N8" s="4" t="inlineStr">
        <is>
          <t>Confirmed</t>
        </is>
      </c>
    </row>
    <row r="9">
      <c r="A9" s="5" t="inlineStr">
        <is>
          <t>II. Concrete Works</t>
        </is>
      </c>
      <c r="B9" s="4" t="inlineStr">
        <is>
          <t>CON-1.3</t>
        </is>
      </c>
      <c r="C9" s="5" t="inlineStr">
        <is>
          <t>Concrete Works - Beams (GB-1, Class A)</t>
        </is>
      </c>
      <c r="D9" s="5" t="inlineStr">
        <is>
          <t>2nd Floor Framing</t>
        </is>
      </c>
      <c r="E9" s="4" t="inlineStr">
        <is>
          <t>S-1 Sheet 1</t>
        </is>
      </c>
      <c r="F9" s="7" t="n">
        <v>4</v>
      </c>
      <c r="G9" s="7" t="n">
        <v>0.25</v>
      </c>
      <c r="H9" s="7" t="n">
        <v>0.5</v>
      </c>
      <c r="I9" s="8" t="n">
        <v>3</v>
      </c>
      <c r="J9" s="6" t="n">
        <v>1.5</v>
      </c>
      <c r="K9" s="4" t="inlineStr">
        <is>
          <t>cu.m.</t>
        </is>
      </c>
      <c r="L9" s="7" t="n">
        <v>5640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REB-2.20</t>
        </is>
      </c>
      <c r="C10" s="5" t="inlineStr">
        <is>
          <t>Deformed Rebar Ø20mm (GB-1)</t>
        </is>
      </c>
      <c r="D10" s="5" t="inlineStr">
        <is>
          <t>2nd Floor Framing</t>
        </is>
      </c>
      <c r="E10" s="4" t="inlineStr">
        <is>
          <t>S-1 Sheet 1</t>
        </is>
      </c>
      <c r="F10" s="7" t="n">
        <v>4.8</v>
      </c>
      <c r="G10" s="7" t="n">
        <v>1</v>
      </c>
      <c r="H10" s="7" t="n">
        <v>1</v>
      </c>
      <c r="I10" s="8" t="n">
        <v>18</v>
      </c>
      <c r="J10" s="6" t="n">
        <v>213.06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(GB-1)</t>
        </is>
      </c>
      <c r="D11" s="5" t="inlineStr">
        <is>
          <t>2nd Floor Framing</t>
        </is>
      </c>
      <c r="E11" s="4" t="inlineStr">
        <is>
          <t>S-1 Sheet 1</t>
        </is>
      </c>
      <c r="F11" s="7" t="n">
        <v>213.06</v>
      </c>
      <c r="G11" s="7" t="n">
        <v>1</v>
      </c>
      <c r="H11" s="7" t="n">
        <v>1</v>
      </c>
      <c r="I11" s="8" t="n">
        <v>1</v>
      </c>
      <c r="J11" s="6" t="n">
        <v>3.2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CON-1.4</t>
        </is>
      </c>
      <c r="C12" s="5" t="inlineStr">
        <is>
          <t>Concrete Works - Slabs (SL-1, Class A)</t>
        </is>
      </c>
      <c r="D12" s="5" t="inlineStr">
        <is>
          <t>2nd Floor Slab</t>
        </is>
      </c>
      <c r="E12" s="4" t="inlineStr">
        <is>
          <t>S-2 Sheet 2</t>
        </is>
      </c>
      <c r="F12" s="7" t="n">
        <v>8</v>
      </c>
      <c r="G12" s="7" t="n">
        <v>6</v>
      </c>
      <c r="H12" s="7" t="n">
        <v>0.125</v>
      </c>
      <c r="I12" s="8" t="n">
        <v>1</v>
      </c>
      <c r="J12" s="6" t="n">
        <v>6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IV. Masonry Works</t>
        </is>
      </c>
      <c r="B13" s="4" t="inlineStr">
        <is>
          <t>MAS-3.1</t>
        </is>
      </c>
      <c r="C13" s="5" t="inlineStr">
        <is>
          <t>100mm CHB Wall (W-1; Class B mortar: 0.522 bag/m², 0.0435 m³ sand/m²)</t>
        </is>
      </c>
      <c r="D13" s="5" t="inlineStr">
        <is>
          <t>Exterior Perimeter</t>
        </is>
      </c>
      <c r="E13" s="4" t="inlineStr">
        <is>
          <t>A-1 Sheet 1</t>
        </is>
      </c>
      <c r="F13" s="7" t="n">
        <v>8</v>
      </c>
      <c r="G13" s="7" t="n">
        <v>1</v>
      </c>
      <c r="H13" s="7" t="n">
        <v>3</v>
      </c>
      <c r="I13" s="8" t="n">
        <v>1</v>
      </c>
      <c r="J13" s="6" t="n">
        <v>20.4</v>
      </c>
      <c r="K13" s="4" t="inlineStr">
        <is>
          <t>sq.m.</t>
        </is>
      </c>
      <c r="L13" s="7" t="n">
        <v>609.02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IV. Masonry Works</t>
        </is>
      </c>
      <c r="B14" s="4" t="inlineStr">
        <is>
          <t>MAS-3.3</t>
        </is>
      </c>
      <c r="C14" s="5" t="inlineStr">
        <is>
          <t>16mm Cement Plaster (2 faces, W-1; Class B: 0.192 bag/m², 0.0160 m³ sand/m²)</t>
        </is>
      </c>
      <c r="D14" s="5" t="inlineStr">
        <is>
          <t>Exterior Perimeter</t>
        </is>
      </c>
      <c r="E14" s="4" t="inlineStr">
        <is>
          <t>A-1 Sheet 1</t>
        </is>
      </c>
      <c r="F14" s="7" t="n">
        <v>20.4</v>
      </c>
      <c r="G14" s="7" t="n">
        <v>1</v>
      </c>
      <c r="H14" s="7" t="n">
        <v>1</v>
      </c>
      <c r="I14" s="8" t="n">
        <v>2</v>
      </c>
      <c r="J14" s="6" t="n">
        <v>40.8</v>
      </c>
      <c r="K14" s="4" t="inlineStr">
        <is>
          <t>sq.m.</t>
        </is>
      </c>
      <c r="L14" s="7" t="n">
        <v>188.72</v>
      </c>
      <c r="M14" s="6">
        <f>J14*L14</f>
        <v/>
      </c>
      <c r="N14" s="4" t="inlineStr">
        <is>
          <t>Confirmed</t>
        </is>
      </c>
    </row>
    <row r="15">
      <c r="C15" s="9" t="inlineStr">
        <is>
          <t>TOTAL BACK-UP COMPUTATION AMOUNT (PHP)</t>
        </is>
      </c>
      <c r="M15" s="10">
        <f>SUM(M5:M14)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CON-1.2</t>
        </is>
      </c>
      <c r="C6" s="5" t="inlineStr">
        <is>
          <t>Concrete Works - Columns</t>
        </is>
      </c>
      <c r="D6" s="4" t="inlineStr">
        <is>
          <t>cu.m.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REB-2.16</t>
        </is>
      </c>
      <c r="C7" s="5" t="inlineStr">
        <is>
          <t>Deformed Rebar Ø16mm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REB-2.0</t>
        </is>
      </c>
      <c r="C8" s="5" t="inlineStr">
        <is>
          <t>#16 G.I. Tie Wire</t>
        </is>
      </c>
      <c r="D8" s="4" t="inlineStr">
        <is>
          <t>kg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CON-1.3</t>
        </is>
      </c>
      <c r="C9" s="5" t="inlineStr">
        <is>
          <t>Concrete Works - Beams</t>
        </is>
      </c>
      <c r="D9" s="4" t="inlineStr">
        <is>
          <t>cu.m.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REB-2.20</t>
        </is>
      </c>
      <c r="C10" s="5" t="inlineStr">
        <is>
          <t>Deformed Rebar Ø20mm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CON-1.4</t>
        </is>
      </c>
      <c r="C11" s="5" t="inlineStr">
        <is>
          <t>Concrete Works - Slabs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MAS-3.1</t>
        </is>
      </c>
      <c r="C12" s="5" t="inlineStr">
        <is>
          <t>100mm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2026-07-21T14:26:14Z</dcterms:created>
  <dcterms:modified xsi:type="dcterms:W3CDTF">2026-07-21T14:26:14Z</dcterms:modified>
</cp:coreProperties>
</file>